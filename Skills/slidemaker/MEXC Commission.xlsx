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ission Analys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<sst xmlns="http://schemas.openxmlformats.org/spreadsheetml/2006/main" count="30" uniqueCount="22">
  <si>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 xml:space="preserve">Upfront/Expenses</t>
  </si>
  <si>
    <t xml:space="preserve">Commission %</t>
  </si>
  <si>
    <t xml:space="preserve">Breakeven</t>
  </si>
  <si>
    <t xml:space="preserve">Min. Daily Volume Target</t>
  </si>
  <si>
    <t xml:space="preserve">100%</t>
  </si>
  <si>
    <t xml:space="preserve">Monthly Target</t>
  </si>
  <si>
    <t xml:space="preserve">Daily average</t>
  </si>
  <si>
    <t xml:space="preserve">Total Commission Generate</t>
  </si>
  <si>
    <t xml:space="preserve">Commission get by KOL</t>
  </si>
  <si>
    <t xml:space="preserve">Overall Commission Rate</t>
  </si>
  <si>
    <t xml:space="preserve">Commission get by KOL / Total Commission Generate</t>
  </si>
  <si>
    <t xml:space="preserve">Specific time Trading
Volume</t>
  </si>
  <si>
    <t xml:space="preserve">Total Fee
Generated</t>
  </si>
  <si>
    <t xml:space="preserve">Commission
Rate</t>
  </si>
  <si>
    <t xml:space="preserve">Commission for
KOL</t>
  </si>
  <si>
    <t xml:space="preserve">Upfront/
postpayment</t>
  </si>
  <si>
    <t xml:space="preserve">Cost of
campaign</t>
  </si>
  <si>
    <t xml:space="preserve">Total for KOL</t>
  </si>
  <si>
    <r>
      <rPr>
        <b val="true"/>
        <sz val="9"/>
        <rFont val="Cambria"/>
        <family val="0"/>
        <charset val="1"/>
      </rPr>
      <t xml:space="preserve">Overall rebate
calculation
</t>
    </r>
    <r>
      <rPr>
        <b val="true"/>
        <sz val="9"/>
        <rFont val="Noto Sans CJK SC"/>
        <family val="2"/>
      </rPr>
      <t xml:space="preserve">综合返佣比例</t>
    </r>
  </si>
  <si>
    <t xml:space="preserve">50%</t>
  </si>
  <si>
    <t xml:space="preserve">75%</t>
  </si>
  <si>
    <t xml:space="preserve">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</si>
</sst>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E6E0EC"/>
        <bgColor rgb="FFD9EAD3"/>
      </patternFill>
    </fill>
    <fill>
      <patternFill patternType="solid">
        <fgColor rgb="FFD9EAD3"/>
        <bgColor rgb="FFE6E0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0</v>
      </c>
      <c r="B2" s="3" t="n">
        <v>1000</v>
      </c>
    </row>
    <row r="3" customFormat="false" ht="15" hidden="false" customHeight="true" outlineLevel="0" collapsed="false">
      <c r="A3" s="3" t="s">
        <v>1</v>
      </c>
      <c r="B3" s="4" t="n">
        <v>0.5</v>
      </c>
    </row>
    <row r="5" customFormat="false" ht="15" hidden="false" customHeight="true" outlineLevel="0" collapsed="false">
      <c r="A5" s="5" t="s">
        <v>2</v>
      </c>
      <c r="B5" s="6" t="n">
        <f aca="false">B2/(0.00014*B3)</f>
        <v>14285714.2857143</v>
      </c>
    </row>
    <row r="6" customFormat="false" ht="15" hidden="false" customHeight="true" outlineLevel="0" collapsed="false">
      <c r="A6" s="5" t="s">
        <v>3</v>
      </c>
      <c r="B6" s="6" t="n">
        <f aca="false">B5/30</f>
        <v>476190.476190476</v>
      </c>
      <c r="C6" s="5" t="s">
        <v>4</v>
      </c>
    </row>
    <row r="8" customFormat="false" ht="15" hidden="false" customHeight="true" outlineLevel="0" collapsed="false">
      <c r="A8" s="2" t="s">
        <v>5</v>
      </c>
      <c r="B8" s="7" t="n">
        <v>15000000</v>
      </c>
    </row>
    <row r="9" customFormat="false" ht="15" hidden="false" customHeight="true" outlineLevel="0" collapsed="false">
      <c r="A9" s="5" t="s">
        <v>6</v>
      </c>
      <c r="B9" s="6" t="n">
        <f aca="false">B8/30</f>
        <v>500000</v>
      </c>
    </row>
    <row r="10" customFormat="false" ht="15" hidden="false" customHeight="true" outlineLevel="0" collapsed="false">
      <c r="A10" s="5" t="s">
        <v>7</v>
      </c>
      <c r="B10" s="6" t="n">
        <f aca="false">B9*0.00014</f>
        <v>70</v>
      </c>
    </row>
    <row r="11" customFormat="false" ht="15" hidden="false" customHeight="true" outlineLevel="0" collapsed="false">
      <c r="A11" s="5" t="s">
        <v>8</v>
      </c>
      <c r="B11" s="6" t="n">
        <f aca="false">B10*B3</f>
        <v>35</v>
      </c>
    </row>
    <row r="12" customFormat="false" ht="15" hidden="false" customHeight="true" outlineLevel="0" collapsed="false">
      <c r="A12" s="5" t="s">
        <v>9</v>
      </c>
      <c r="B12" s="8" t="n">
        <f aca="false">IFERROR(B11/B10,0)</f>
        <v>0.5</v>
      </c>
      <c r="C12" s="5" t="s">
        <v>10</v>
      </c>
    </row>
    <row r="14" customFormat="false" ht="45" hidden="false" customHeight="true" outlineLevel="0" collapsed="false">
      <c r="A14" s="9" t="s">
        <v>11</v>
      </c>
      <c r="B14" s="9" t="s">
        <v>12</v>
      </c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</row>
    <row r="15" customFormat="false" ht="15" hidden="false" customHeight="true" outlineLevel="0" collapsed="false">
      <c r="A15" s="10" t="n">
        <v>60000000</v>
      </c>
      <c r="B15" s="10" t="n">
        <v>8400</v>
      </c>
      <c r="C15" s="11" t="s">
        <v>19</v>
      </c>
      <c r="D15" s="10" t="n">
        <f aca="false">B15*C15</f>
        <v>4200</v>
      </c>
      <c r="E15" s="10" t="n">
        <v>4000</v>
      </c>
      <c r="F15" s="10" t="n">
        <v>2000</v>
      </c>
      <c r="G15" s="10" t="n">
        <f aca="false">D15+E15+F15</f>
        <v>10200</v>
      </c>
      <c r="H15" s="12" t="n">
        <f aca="false">IFERROR(G15/B15,0)</f>
        <v>1.21428571428571</v>
      </c>
    </row>
    <row r="16" customFormat="false" ht="15" hidden="false" customHeight="true" outlineLevel="0" collapsed="false">
      <c r="A16" s="10" t="n">
        <v>30000000</v>
      </c>
      <c r="B16" s="10" t="n">
        <v>4200</v>
      </c>
      <c r="C16" s="11" t="s">
        <v>19</v>
      </c>
      <c r="D16" s="10" t="n">
        <f aca="false">B16*C16</f>
        <v>2100</v>
      </c>
      <c r="E16" s="10" t="n">
        <v>2000</v>
      </c>
      <c r="F16" s="13"/>
      <c r="G16" s="10" t="n">
        <f aca="false">D16+E16+F16</f>
        <v>4100</v>
      </c>
      <c r="H16" s="12" t="n">
        <f aca="false">IFERROR(G16/B16,0)</f>
        <v>0.976190476190476</v>
      </c>
    </row>
    <row r="17" customFormat="false" ht="15" hidden="false" customHeight="true" outlineLevel="0" collapsed="false">
      <c r="A17" s="10" t="n">
        <v>100000000</v>
      </c>
      <c r="B17" s="10" t="n">
        <v>40000</v>
      </c>
      <c r="C17" s="11" t="s">
        <v>19</v>
      </c>
      <c r="D17" s="10" t="n">
        <f aca="false">B17*C17</f>
        <v>20000</v>
      </c>
      <c r="E17" s="10" t="n">
        <v>11700</v>
      </c>
      <c r="F17" s="13"/>
      <c r="G17" s="10" t="n">
        <f aca="false">D17+E17+F17</f>
        <v>31700</v>
      </c>
      <c r="H17" s="12" t="n">
        <f aca="false">IFERROR(G17/B17,0)</f>
        <v>0.7925</v>
      </c>
    </row>
    <row r="18" customFormat="false" ht="15" hidden="false" customHeight="true" outlineLevel="0" collapsed="false">
      <c r="A18" s="10" t="n">
        <v>400000000</v>
      </c>
      <c r="B18" s="10" t="n">
        <v>80000</v>
      </c>
      <c r="C18" s="11" t="s">
        <v>20</v>
      </c>
      <c r="D18" s="10" t="n">
        <f aca="false">B18*C18</f>
        <v>60000</v>
      </c>
      <c r="E18" s="10" t="n">
        <v>10000</v>
      </c>
      <c r="F18" s="10" t="n">
        <v>3000</v>
      </c>
      <c r="G18" s="10" t="n">
        <f aca="false">D18+E18+F18</f>
        <v>73000</v>
      </c>
      <c r="H18" s="12" t="n">
        <f aca="false">IFERROR(G18/B18,0)</f>
        <v>0.9125</v>
      </c>
    </row>
    <row r="19" customFormat="false" ht="15" hidden="false" customHeight="true" outlineLevel="0" collapsed="false">
      <c r="A19" s="10" t="n">
        <v>5000000</v>
      </c>
      <c r="B19" s="10" t="n">
        <v>700</v>
      </c>
      <c r="C19" s="11" t="s">
        <v>21</v>
      </c>
      <c r="D19" s="10" t="n">
        <f aca="false">B19*C19</f>
        <v>0</v>
      </c>
      <c r="E19" s="10" t="n">
        <v>500</v>
      </c>
      <c r="F19" s="10" t="n">
        <v>200</v>
      </c>
      <c r="G19" s="10" t="n">
        <f aca="false">D19+E19+F19</f>
        <v>700</v>
      </c>
      <c r="H19" s="12" t="n">
        <f aca="false">IFERROR(G19/B19,0)</f>
        <v>1</v>
      </c>
    </row>
    <row r="20" customFormat="false" ht="15" hidden="false" customHeight="true" outlineLevel="0" collapsed="false">
      <c r="A20" s="13"/>
      <c r="B20" s="13"/>
      <c r="C20" s="13"/>
      <c r="D20" s="10" t="n">
        <f aca="false">B20*C20</f>
        <v>0</v>
      </c>
      <c r="E20" s="13"/>
      <c r="F20" s="13"/>
      <c r="G20" s="10" t="n">
        <f aca="false">D20+E20+F20</f>
        <v>0</v>
      </c>
      <c r="H20" s="12" t="n">
        <f aca="false">IFERROR(G20/B20,0)</f>
        <v>0</v>
      </c>
    </row>
    <row r="21" customFormat="false" ht="15" hidden="false" customHeight="true" outlineLevel="0" collapsed="false">
      <c r="A21" s="10" t="n">
        <v>30000000</v>
      </c>
      <c r="B21" s="10" t="n">
        <v>4200</v>
      </c>
      <c r="C21" s="11" t="s">
        <v>19</v>
      </c>
      <c r="D21" s="10" t="n">
        <f aca="false">B21*C21</f>
        <v>2100</v>
      </c>
      <c r="E21" s="10" t="n">
        <v>2000</v>
      </c>
      <c r="F21" s="13"/>
      <c r="G21" s="10" t="n">
        <f aca="false">D21+E21+F21</f>
        <v>4100</v>
      </c>
      <c r="H21" s="12" t="n">
        <f aca="false">IFERROR(G21/B21,0)</f>
        <v>0.976190476190476</v>
      </c>
    </row>
    <row r="22" customFormat="false" ht="15" hidden="false" customHeight="true" outlineLevel="0" collapsed="false">
      <c r="A22" s="10" t="n">
        <v>20000000</v>
      </c>
      <c r="B22" s="10" t="n">
        <v>2800</v>
      </c>
      <c r="C22" s="11" t="s">
        <v>19</v>
      </c>
      <c r="D22" s="10" t="n">
        <f aca="false">B22*C22</f>
        <v>1400</v>
      </c>
      <c r="E22" s="10" t="n">
        <v>0</v>
      </c>
      <c r="F22" s="10" t="n">
        <v>1000</v>
      </c>
      <c r="G22" s="10" t="n">
        <f aca="false">D22+E22+F22</f>
        <v>2400</v>
      </c>
      <c r="H22" s="12" t="n">
        <f aca="false">IFERROR(G22/B22,0)</f>
        <v>0.857142857142857</v>
      </c>
    </row>
    <row r="23" customFormat="false" ht="15" hidden="false" customHeight="true" outlineLevel="0" collapsed="false">
      <c r="A23" s="10" t="n">
        <v>20000000</v>
      </c>
      <c r="B23" s="10" t="n">
        <v>2800</v>
      </c>
      <c r="C23" s="11" t="s">
        <v>19</v>
      </c>
      <c r="D23" s="10" t="n">
        <f aca="false">B23*C23</f>
        <v>1400</v>
      </c>
      <c r="E23" s="10" t="n">
        <v>1000</v>
      </c>
      <c r="F23" s="10" t="n">
        <v>1000</v>
      </c>
      <c r="G23" s="10" t="n">
        <f aca="false">D23+E23+F23</f>
        <v>3400</v>
      </c>
      <c r="H23" s="12" t="n">
        <f aca="false">IFERROR(G23/B23,0)</f>
        <v>1.21428571428571</v>
      </c>
    </row>
    <row r="24" customFormat="false" ht="15" hidden="false" customHeight="true" outlineLevel="0" collapsed="false">
      <c r="A24" s="10" t="n">
        <v>30000000</v>
      </c>
      <c r="B24" s="10" t="n">
        <v>4200</v>
      </c>
      <c r="C24" s="11" t="s">
        <v>19</v>
      </c>
      <c r="D24" s="10" t="n">
        <f aca="false">B24*C24</f>
        <v>2100</v>
      </c>
      <c r="E24" s="10" t="n">
        <v>1000</v>
      </c>
      <c r="F24" s="10" t="n">
        <v>1000</v>
      </c>
      <c r="G24" s="10" t="n">
        <f aca="false">D24+E24+F24</f>
        <v>4100</v>
      </c>
      <c r="H24" s="12" t="n">
        <f aca="false">IFERROR(G24/B24,0)</f>
        <v>0.976190476190476</v>
      </c>
    </row>
    <row r="25" customFormat="false" ht="15" hidden="false" customHeight="true" outlineLevel="0" collapsed="false">
      <c r="A25" s="10" t="n">
        <v>30000000</v>
      </c>
      <c r="B25" s="10" t="n">
        <v>4200</v>
      </c>
      <c r="C25" s="11" t="s">
        <v>19</v>
      </c>
      <c r="D25" s="10" t="n">
        <f aca="false">B25*C25</f>
        <v>2100</v>
      </c>
      <c r="E25" s="10" t="n">
        <v>1000</v>
      </c>
      <c r="F25" s="10" t="n">
        <v>1000</v>
      </c>
      <c r="G25" s="10" t="n">
        <f aca="false">D25+E25+F25</f>
        <v>4100</v>
      </c>
      <c r="H25" s="12" t="n">
        <f aca="false">IFERROR(G25/B25,0)</f>
        <v>0.976190476190476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2026-01-29T06:51:32Z</dcterms:created>
  <dc:creator>openpyxl</dc:creator>
  <dc:description/>
  <dc:language>en-US</dc:language>
  <cp:lastModifiedBy/>
  <dcterms:modified xsi:type="dcterms:W3CDTF">2026-01-29T06:57:11Z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